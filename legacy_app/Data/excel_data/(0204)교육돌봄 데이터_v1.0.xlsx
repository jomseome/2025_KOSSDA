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seokjeon/streamlit-eda/Data/excel_data/"/>
    </mc:Choice>
  </mc:AlternateContent>
  <xr:revisionPtr revIDLastSave="0" documentId="13_ncr:1_{EE02EE75-3BB7-ED46-B246-2FC74FA1130A}" xr6:coauthVersionLast="47" xr6:coauthVersionMax="47" xr10:uidLastSave="{00000000-0000-0000-0000-000000000000}"/>
  <bookViews>
    <workbookView xWindow="1040" yWindow="1200" windowWidth="27700" windowHeight="16580" activeTab="14" xr2:uid="{2A55EBF6-3E22-DD4F-B689-7AEEFA3BF04C}"/>
  </bookViews>
  <sheets>
    <sheet name="그림1" sheetId="1" r:id="rId1"/>
    <sheet name="그림2" sheetId="2" r:id="rId2"/>
    <sheet name="그림3" sheetId="3" r:id="rId3"/>
    <sheet name="그림4" sheetId="4" r:id="rId4"/>
    <sheet name="그림5" sheetId="5" r:id="rId5"/>
    <sheet name="그림6" sheetId="6" r:id="rId6"/>
    <sheet name="그림7" sheetId="7" r:id="rId7"/>
    <sheet name="그림8" sheetId="8" r:id="rId8"/>
    <sheet name="그림9" sheetId="9" r:id="rId9"/>
    <sheet name="그림10" sheetId="10" r:id="rId10"/>
    <sheet name="그림11" sheetId="11" r:id="rId11"/>
    <sheet name="그림12" sheetId="12" r:id="rId12"/>
    <sheet name="그림13" sheetId="13" r:id="rId13"/>
    <sheet name="그림14" sheetId="14" r:id="rId14"/>
    <sheet name="그림 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9" l="1"/>
  <c r="J8" i="9"/>
  <c r="J7" i="9"/>
  <c r="J6" i="9"/>
  <c r="J5" i="9"/>
  <c r="J4" i="9"/>
  <c r="J3" i="9"/>
  <c r="J2" i="9"/>
  <c r="Q6" i="7"/>
  <c r="Q5" i="7"/>
  <c r="Q4" i="7"/>
  <c r="Q3" i="7"/>
  <c r="Q2" i="7"/>
</calcChain>
</file>

<file path=xl/sharedStrings.xml><?xml version="1.0" encoding="utf-8"?>
<sst xmlns="http://schemas.openxmlformats.org/spreadsheetml/2006/main" count="191" uniqueCount="124">
  <si>
    <t/>
  </si>
  <si>
    <t>유치원</t>
  </si>
  <si>
    <t>초등학교</t>
  </si>
  <si>
    <t>중학교</t>
  </si>
  <si>
    <t>고등학교</t>
  </si>
  <si>
    <t>전체</t>
    <phoneticPr fontId="6" type="noConversion"/>
  </si>
  <si>
    <t>기준연도</t>
    <phoneticPr fontId="6" type="noConversion"/>
  </si>
  <si>
    <t>구분</t>
    <phoneticPr fontId="6" type="noConversion"/>
  </si>
  <si>
    <t>2021년</t>
  </si>
  <si>
    <t>한국</t>
  </si>
  <si>
    <t>OECD 평균</t>
  </si>
  <si>
    <t>2022년</t>
  </si>
  <si>
    <t>2023년</t>
  </si>
  <si>
    <t>2019년</t>
  </si>
  <si>
    <t>구분</t>
  </si>
  <si>
    <t>초·중등교육</t>
  </si>
  <si>
    <t>고등교육</t>
  </si>
  <si>
    <t>초등~고등교육</t>
  </si>
  <si>
    <t>정부</t>
  </si>
  <si>
    <t>민간</t>
  </si>
  <si>
    <t>합계</t>
  </si>
  <si>
    <t>연도</t>
    <phoneticPr fontId="6" type="noConversion"/>
  </si>
  <si>
    <t>영역</t>
    <phoneticPr fontId="6" type="noConversion"/>
  </si>
  <si>
    <t>한국</t>
    <phoneticPr fontId="6" type="noConversion"/>
  </si>
  <si>
    <t>OECD 평균</t>
    <phoneticPr fontId="6" type="noConversion"/>
  </si>
  <si>
    <t>수학</t>
    <phoneticPr fontId="6" type="noConversion"/>
  </si>
  <si>
    <t>읽기</t>
    <phoneticPr fontId="6" type="noConversion"/>
  </si>
  <si>
    <t>과학</t>
    <phoneticPr fontId="6" type="noConversion"/>
  </si>
  <si>
    <t>학교 내 분산 비율(%)</t>
  </si>
  <si>
    <t>학교 간 분산 비율(%)</t>
  </si>
  <si>
    <t>일반고</t>
    <phoneticPr fontId="6" type="noConversion"/>
  </si>
  <si>
    <t>국가</t>
  </si>
  <si>
    <t>사교육 참여수준</t>
    <phoneticPr fontId="6" type="noConversion"/>
  </si>
  <si>
    <t>덴마크</t>
  </si>
  <si>
    <t>아일랜드</t>
  </si>
  <si>
    <t>헝가리</t>
  </si>
  <si>
    <t>벨기에</t>
  </si>
  <si>
    <t>아이슬란드</t>
  </si>
  <si>
    <t>네덜란드</t>
  </si>
  <si>
    <t>이탈리아</t>
  </si>
  <si>
    <t>스페인</t>
  </si>
  <si>
    <t>슬로바키아</t>
  </si>
  <si>
    <t>스웨덴</t>
  </si>
  <si>
    <t>멕시코</t>
    <phoneticPr fontId="6" type="noConversion"/>
  </si>
  <si>
    <t>미국</t>
  </si>
  <si>
    <t>칠레</t>
  </si>
  <si>
    <t>독일</t>
  </si>
  <si>
    <t>스위스</t>
  </si>
  <si>
    <t>체코</t>
  </si>
  <si>
    <t>핀란드</t>
  </si>
  <si>
    <t>코스타리카</t>
  </si>
  <si>
    <t>호주</t>
  </si>
  <si>
    <t>터키</t>
  </si>
  <si>
    <t>리투아니아</t>
  </si>
  <si>
    <t>노르웨이</t>
  </si>
  <si>
    <t>오스트리아</t>
  </si>
  <si>
    <t>프랑스</t>
  </si>
  <si>
    <t>캐나다</t>
  </si>
  <si>
    <t>뉴질랜드</t>
  </si>
  <si>
    <t>슬로베니아</t>
  </si>
  <si>
    <t>영국</t>
  </si>
  <si>
    <t>이스라엘</t>
  </si>
  <si>
    <t>폴란드</t>
  </si>
  <si>
    <t>콜롬비아</t>
  </si>
  <si>
    <t>일본</t>
  </si>
  <si>
    <t>포르투갈</t>
  </si>
  <si>
    <t>그리스</t>
  </si>
  <si>
    <t>라트비아</t>
  </si>
  <si>
    <t>에스토니아</t>
  </si>
  <si>
    <t>평가대상</t>
  </si>
  <si>
    <t>매우 잘하고 있다</t>
    <phoneticPr fontId="6" type="noConversion"/>
  </si>
  <si>
    <t>잘하고 있다</t>
    <phoneticPr fontId="6" type="noConversion"/>
  </si>
  <si>
    <t>보통이다</t>
    <phoneticPr fontId="6" type="noConversion"/>
  </si>
  <si>
    <t>못하고 있다</t>
    <phoneticPr fontId="6" type="noConversion"/>
  </si>
  <si>
    <t>전혀 못하고 있다</t>
    <phoneticPr fontId="6" type="noConversion"/>
  </si>
  <si>
    <t>2023년 평균점수</t>
  </si>
  <si>
    <t>2024년 평균점수</t>
  </si>
  <si>
    <t>초중고 전체</t>
  </si>
  <si>
    <t>전체</t>
  </si>
  <si>
    <t>초중고 학부모</t>
  </si>
  <si>
    <t>초등학교</t>
    <phoneticPr fontId="6" type="noConversion"/>
  </si>
  <si>
    <t>시험을 잘 준비했더라도 불안하다</t>
    <phoneticPr fontId="6" type="noConversion"/>
  </si>
  <si>
    <t>공부를 할 때 매우 긴장된다</t>
    <phoneticPr fontId="6" type="noConversion"/>
  </si>
  <si>
    <t>학업 관련 불안감 지수</t>
  </si>
  <si>
    <t>OECD 평균</t>
  </si>
  <si>
    <t>특성화(구 전문계) 고졸</t>
  </si>
  <si>
    <t>대학(4년제 미만) 졸</t>
  </si>
  <si>
    <t>대학교(4년제 이상) 이상 졸</t>
  </si>
  <si>
    <t>어린이집</t>
  </si>
  <si>
    <t>2015년</t>
  </si>
  <si>
    <t>2018년</t>
  </si>
  <si>
    <t>2024년</t>
  </si>
  <si>
    <t>Boys</t>
  </si>
  <si>
    <t>Girls</t>
  </si>
  <si>
    <t>Japan</t>
  </si>
  <si>
    <t>United Arab Emirates</t>
  </si>
  <si>
    <t>Brazil</t>
  </si>
  <si>
    <t>Qatar</t>
  </si>
  <si>
    <t>Colombia</t>
  </si>
  <si>
    <t>Hong Kong (China)</t>
  </si>
  <si>
    <t>Spain</t>
  </si>
  <si>
    <t>Israel</t>
  </si>
  <si>
    <t>Turkey</t>
  </si>
  <si>
    <t>Portugal</t>
  </si>
  <si>
    <t>Korea</t>
  </si>
  <si>
    <t>France</t>
  </si>
  <si>
    <t>Singapore</t>
  </si>
  <si>
    <t>China</t>
    <phoneticPr fontId="6" type="noConversion"/>
  </si>
  <si>
    <t>Chinese Taipei</t>
  </si>
  <si>
    <t>New Zealand</t>
  </si>
  <si>
    <t>Sweden</t>
  </si>
  <si>
    <t>Greece</t>
  </si>
  <si>
    <t>United Kingdom</t>
  </si>
  <si>
    <t>Belgium</t>
  </si>
  <si>
    <t>Austria</t>
  </si>
  <si>
    <t>Australia</t>
  </si>
  <si>
    <t>United States</t>
  </si>
  <si>
    <t>Denmark</t>
  </si>
  <si>
    <t>Norway</t>
  </si>
  <si>
    <t>Finland</t>
  </si>
  <si>
    <t>Canada</t>
  </si>
  <si>
    <t>Hungary</t>
  </si>
  <si>
    <t>Germany</t>
  </si>
  <si>
    <t>OECD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</si>
</sst>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"/>
    <numFmt numFmtId="178" formatCode="0.0_ "/>
    <numFmt numFmtId="179" formatCode="0.000"/>
  </numFmts>
  <fonts count="14">
    <font>
      <sz val="12"/>
      <color theme="1"/>
      <name val="Dotum"/>
      <family val="2"/>
      <charset val="129"/>
    </font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Dotum"/>
      <family val="2"/>
      <charset val="129"/>
    </font>
    <font>
      <b/>
      <sz val="11"/>
      <color indexed="8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2" fillId="0" borderId="0"/>
    <xf numFmtId="0" fontId="12" fillId="0" borderId="0"/>
  </cellStyleXfs>
  <cellXfs count="4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176" fontId="4" fillId="2" borderId="1" xfId="1" applyNumberFormat="1" applyFont="1" applyFill="1" applyBorder="1">
      <alignment vertical="center"/>
    </xf>
    <xf numFmtId="0" fontId="4" fillId="2" borderId="1" xfId="1" applyFont="1" applyFill="1" applyBorder="1">
      <alignment vertical="center"/>
    </xf>
    <xf numFmtId="0" fontId="2" fillId="3" borderId="1" xfId="1" applyFont="1" applyFill="1" applyBorder="1" applyAlignment="1">
      <alignment horizontal="center" vertical="center"/>
    </xf>
    <xf numFmtId="176" fontId="1" fillId="0" borderId="1" xfId="1" applyNumberFormat="1" applyBorder="1">
      <alignment vertical="center"/>
    </xf>
    <xf numFmtId="3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5" fillId="3" borderId="1" xfId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7" fontId="8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7" fontId="9" fillId="0" borderId="1" xfId="0" applyNumberFormat="1" applyFont="1" applyBorder="1" applyAlignment="1">
      <alignment horizontal="right" vertical="center"/>
    </xf>
    <xf numFmtId="178" fontId="0" fillId="0" borderId="0" xfId="0" applyNumberFormat="1">
      <alignment vertical="center"/>
    </xf>
    <xf numFmtId="0" fontId="5" fillId="3" borderId="0" xfId="0" applyFont="1" applyFill="1" applyAlignment="1">
      <alignment horizontal="center" vertical="center"/>
    </xf>
    <xf numFmtId="177" fontId="8" fillId="0" borderId="1" xfId="0" applyNumberFormat="1" applyFont="1" applyBorder="1" applyAlignment="1">
      <alignment horizontal="right" vertical="center" wrapText="1"/>
    </xf>
    <xf numFmtId="0" fontId="11" fillId="0" borderId="1" xfId="2" applyFont="1" applyBorder="1" applyAlignment="1">
      <alignment horizontal="center" vertical="top"/>
    </xf>
    <xf numFmtId="0" fontId="10" fillId="0" borderId="1" xfId="2" applyBorder="1"/>
    <xf numFmtId="179" fontId="10" fillId="0" borderId="1" xfId="2" applyNumberFormat="1" applyBorder="1"/>
    <xf numFmtId="0" fontId="10" fillId="0" borderId="0" xfId="2"/>
    <xf numFmtId="177" fontId="10" fillId="0" borderId="0" xfId="2" applyNumberFormat="1"/>
    <xf numFmtId="2" fontId="10" fillId="0" borderId="0" xfId="2" applyNumberFormat="1"/>
    <xf numFmtId="2" fontId="1" fillId="0" borderId="1" xfId="1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12" fillId="6" borderId="6" xfId="3" applyFill="1" applyBorder="1" applyAlignment="1">
      <alignment horizontal="center"/>
    </xf>
    <xf numFmtId="0" fontId="13" fillId="6" borderId="7" xfId="3" applyFont="1" applyFill="1" applyBorder="1" applyAlignment="1">
      <alignment horizontal="center" wrapText="1"/>
    </xf>
    <xf numFmtId="0" fontId="13" fillId="6" borderId="8" xfId="3" applyFont="1" applyFill="1" applyBorder="1" applyAlignment="1">
      <alignment horizontal="center" wrapText="1"/>
    </xf>
    <xf numFmtId="0" fontId="12" fillId="0" borderId="6" xfId="4" applyBorder="1" applyAlignment="1">
      <alignment horizontal="left"/>
    </xf>
    <xf numFmtId="177" fontId="12" fillId="7" borderId="0" xfId="3" applyNumberFormat="1" applyFill="1" applyAlignment="1">
      <alignment horizontal="right"/>
    </xf>
    <xf numFmtId="177" fontId="12" fillId="7" borderId="9" xfId="3" applyNumberFormat="1" applyFill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2" applyBorder="1" applyAlignment="1">
      <alignment horizontal="center" vertical="center"/>
    </xf>
    <xf numFmtId="0" fontId="10" fillId="0" borderId="2" xfId="2" applyBorder="1" applyAlignment="1">
      <alignment horizontal="center" vertical="center"/>
    </xf>
  </cellXfs>
  <cellStyles count="5">
    <cellStyle name="표준" xfId="0" builtinId="0"/>
    <cellStyle name="표준 2" xfId="1" xr:uid="{AA371D22-C29A-6747-A7A0-28BD86AEBCF1}"/>
    <cellStyle name="표준 3" xfId="2" xr:uid="{56113DAA-2F80-F244-B74C-5AF0EF0BB2F7}"/>
    <cellStyle name="Normal 100" xfId="3" xr:uid="{9F22214B-1748-1047-9A4D-C24A0DEA6D22}"/>
    <cellStyle name="Normal 2" xfId="4" xr:uid="{B91AB202-67FF-7646-8368-F5D004BEAB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201690</xdr:colOff>
      <xdr:row>17</xdr:row>
      <xdr:rowOff>7620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4B385F-EC13-354F-9D5D-8877B5F5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6690" cy="3246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FFFD-7A66-1042-8E15-616ABDB0B3AF}">
  <dimension ref="A1:V6"/>
  <sheetViews>
    <sheetView workbookViewId="0">
      <selection sqref="A1:V6"/>
    </sheetView>
  </sheetViews>
  <sheetFormatPr baseColWidth="10" defaultRowHeight="15"/>
  <sheetData>
    <row r="1" spans="1:22" ht="17">
      <c r="A1" s="1" t="s">
        <v>0</v>
      </c>
      <c r="B1" s="2">
        <v>2015</v>
      </c>
      <c r="C1" s="3">
        <v>2016</v>
      </c>
      <c r="D1" s="3">
        <v>2017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</row>
    <row r="2" spans="1:22" ht="17">
      <c r="A2" s="4" t="s">
        <v>1</v>
      </c>
      <c r="B2" s="5">
        <v>1393</v>
      </c>
      <c r="C2" s="6">
        <v>1412</v>
      </c>
      <c r="D2" s="6">
        <v>1364</v>
      </c>
      <c r="E2" s="6">
        <v>1336</v>
      </c>
      <c r="F2" s="6">
        <v>1307</v>
      </c>
      <c r="G2" s="6">
        <v>1257</v>
      </c>
      <c r="H2" s="6">
        <v>1164</v>
      </c>
      <c r="I2" s="6">
        <v>1052</v>
      </c>
      <c r="J2" s="7">
        <v>959</v>
      </c>
      <c r="K2" s="7">
        <v>885</v>
      </c>
      <c r="L2" s="7">
        <v>823</v>
      </c>
      <c r="M2" s="7">
        <v>774</v>
      </c>
      <c r="N2" s="7">
        <v>729</v>
      </c>
      <c r="O2" s="7">
        <v>688</v>
      </c>
      <c r="P2" s="7">
        <v>661</v>
      </c>
      <c r="Q2" s="7">
        <v>660</v>
      </c>
      <c r="R2" s="7">
        <v>680</v>
      </c>
      <c r="S2" s="7">
        <v>710</v>
      </c>
      <c r="T2" s="7">
        <v>737</v>
      </c>
      <c r="U2" s="7">
        <v>761</v>
      </c>
      <c r="V2" s="7">
        <v>781</v>
      </c>
    </row>
    <row r="3" spans="1:22" ht="17">
      <c r="A3" s="4" t="s">
        <v>2</v>
      </c>
      <c r="B3" s="5">
        <v>2720</v>
      </c>
      <c r="C3" s="6">
        <v>2688</v>
      </c>
      <c r="D3" s="6">
        <v>2719</v>
      </c>
      <c r="E3" s="6">
        <v>2756</v>
      </c>
      <c r="F3" s="6">
        <v>2766</v>
      </c>
      <c r="G3" s="6">
        <v>2724</v>
      </c>
      <c r="H3" s="6">
        <v>2720</v>
      </c>
      <c r="I3" s="6">
        <v>2701</v>
      </c>
      <c r="J3" s="6">
        <v>2607</v>
      </c>
      <c r="K3" s="6">
        <v>2485</v>
      </c>
      <c r="L3" s="6">
        <v>2344</v>
      </c>
      <c r="M3" s="6">
        <v>2203</v>
      </c>
      <c r="N3" s="6">
        <v>2036</v>
      </c>
      <c r="O3" s="6">
        <v>1866</v>
      </c>
      <c r="P3" s="6">
        <v>1725</v>
      </c>
      <c r="Q3" s="6">
        <v>1607</v>
      </c>
      <c r="R3" s="6">
        <v>1504</v>
      </c>
      <c r="S3" s="6">
        <v>1428</v>
      </c>
      <c r="T3" s="6">
        <v>1383</v>
      </c>
      <c r="U3" s="6">
        <v>1363</v>
      </c>
      <c r="V3" s="6">
        <v>1366</v>
      </c>
    </row>
    <row r="4" spans="1:22" ht="17">
      <c r="A4" s="4" t="s">
        <v>3</v>
      </c>
      <c r="B4" s="5">
        <v>1578</v>
      </c>
      <c r="C4" s="6">
        <v>1458</v>
      </c>
      <c r="D4" s="6">
        <v>1385</v>
      </c>
      <c r="E4" s="6">
        <v>1340</v>
      </c>
      <c r="F4" s="6">
        <v>1319</v>
      </c>
      <c r="G4" s="6">
        <v>1364</v>
      </c>
      <c r="H4" s="6">
        <v>1380</v>
      </c>
      <c r="I4" s="6">
        <v>1368</v>
      </c>
      <c r="J4" s="6">
        <v>1364</v>
      </c>
      <c r="K4" s="6">
        <v>1384</v>
      </c>
      <c r="L4" s="6">
        <v>1403</v>
      </c>
      <c r="M4" s="6">
        <v>1357</v>
      </c>
      <c r="N4" s="6">
        <v>1328</v>
      </c>
      <c r="O4" s="6">
        <v>1296</v>
      </c>
      <c r="P4" s="6">
        <v>1248</v>
      </c>
      <c r="Q4" s="6">
        <v>1154</v>
      </c>
      <c r="R4" s="6">
        <v>1046</v>
      </c>
      <c r="S4" s="7">
        <v>955</v>
      </c>
      <c r="T4" s="7">
        <v>881</v>
      </c>
      <c r="U4" s="7">
        <v>820</v>
      </c>
      <c r="V4" s="7">
        <v>771</v>
      </c>
    </row>
    <row r="5" spans="1:22" ht="17">
      <c r="A5" s="4" t="s">
        <v>4</v>
      </c>
      <c r="B5" s="5">
        <v>1868</v>
      </c>
      <c r="C5" s="6">
        <v>1816</v>
      </c>
      <c r="D5" s="6">
        <v>1715</v>
      </c>
      <c r="E5" s="6">
        <v>1574</v>
      </c>
      <c r="F5" s="6">
        <v>1453</v>
      </c>
      <c r="G5" s="6">
        <v>1390</v>
      </c>
      <c r="H5" s="6">
        <v>1344</v>
      </c>
      <c r="I5" s="6">
        <v>1323</v>
      </c>
      <c r="J5" s="6">
        <v>1364</v>
      </c>
      <c r="K5" s="6">
        <v>1379</v>
      </c>
      <c r="L5" s="6">
        <v>1367</v>
      </c>
      <c r="M5" s="6">
        <v>1362</v>
      </c>
      <c r="N5" s="6">
        <v>1382</v>
      </c>
      <c r="O5" s="6">
        <v>1400</v>
      </c>
      <c r="P5" s="6">
        <v>1355</v>
      </c>
      <c r="Q5" s="6">
        <v>1326</v>
      </c>
      <c r="R5" s="6">
        <v>1294</v>
      </c>
      <c r="S5" s="6">
        <v>1246</v>
      </c>
      <c r="T5" s="6">
        <v>1153</v>
      </c>
      <c r="U5" s="6">
        <v>1045</v>
      </c>
      <c r="V5" s="7">
        <v>954</v>
      </c>
    </row>
    <row r="6" spans="1:22" ht="17">
      <c r="A6" s="8" t="s">
        <v>5</v>
      </c>
      <c r="B6" s="5">
        <v>7558</v>
      </c>
      <c r="C6" s="6">
        <v>7373</v>
      </c>
      <c r="D6" s="6">
        <v>7183</v>
      </c>
      <c r="E6" s="6">
        <v>7006</v>
      </c>
      <c r="F6" s="6">
        <v>6845</v>
      </c>
      <c r="G6" s="6">
        <v>6735</v>
      </c>
      <c r="H6" s="6">
        <v>6607</v>
      </c>
      <c r="I6" s="6">
        <v>6444</v>
      </c>
      <c r="J6" s="6">
        <v>6294</v>
      </c>
      <c r="K6" s="6">
        <v>6134</v>
      </c>
      <c r="L6" s="6">
        <v>5936</v>
      </c>
      <c r="M6" s="6">
        <v>5696</v>
      </c>
      <c r="N6" s="6">
        <v>5475</v>
      </c>
      <c r="O6" s="6">
        <v>5250</v>
      </c>
      <c r="P6" s="6">
        <v>4989</v>
      </c>
      <c r="Q6" s="6">
        <v>4747</v>
      </c>
      <c r="R6" s="6">
        <v>4525</v>
      </c>
      <c r="S6" s="6">
        <v>4340</v>
      </c>
      <c r="T6" s="6">
        <v>4155</v>
      </c>
      <c r="U6" s="6">
        <v>3989</v>
      </c>
      <c r="V6" s="6">
        <v>3873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00A5-4AD6-8840-85EB-FCED37E5C2CF}">
  <dimension ref="A1:E7"/>
  <sheetViews>
    <sheetView workbookViewId="0">
      <selection sqref="A1:E7"/>
    </sheetView>
  </sheetViews>
  <sheetFormatPr baseColWidth="10" defaultRowHeight="15"/>
  <sheetData>
    <row r="1" spans="1:5" ht="18">
      <c r="A1" s="9" t="s">
        <v>6</v>
      </c>
      <c r="B1" s="9" t="s">
        <v>7</v>
      </c>
      <c r="C1" s="10" t="s">
        <v>2</v>
      </c>
      <c r="D1" s="10" t="s">
        <v>3</v>
      </c>
      <c r="E1" s="10" t="s">
        <v>4</v>
      </c>
    </row>
    <row r="2" spans="1:5" ht="18">
      <c r="A2" s="38" t="s">
        <v>8</v>
      </c>
      <c r="B2" s="11" t="s">
        <v>9</v>
      </c>
      <c r="C2" s="12">
        <v>16.100000000000001</v>
      </c>
      <c r="D2" s="12">
        <v>13.3</v>
      </c>
      <c r="E2" s="12">
        <v>10.7</v>
      </c>
    </row>
    <row r="3" spans="1:5" ht="18">
      <c r="A3" s="38"/>
      <c r="B3" s="11" t="s">
        <v>10</v>
      </c>
      <c r="C3" s="12">
        <v>14.6</v>
      </c>
      <c r="D3" s="12">
        <v>13.2</v>
      </c>
      <c r="E3" s="12">
        <v>13.3</v>
      </c>
    </row>
    <row r="4" spans="1:5" ht="18">
      <c r="A4" s="38" t="s">
        <v>11</v>
      </c>
      <c r="B4" s="11" t="s">
        <v>9</v>
      </c>
      <c r="C4" s="12">
        <v>15.8</v>
      </c>
      <c r="D4" s="12">
        <v>13.1</v>
      </c>
      <c r="E4" s="12">
        <v>10.5</v>
      </c>
    </row>
    <row r="5" spans="1:5" ht="18">
      <c r="A5" s="38"/>
      <c r="B5" s="11" t="s">
        <v>10</v>
      </c>
      <c r="C5" s="12">
        <v>14</v>
      </c>
      <c r="D5" s="12">
        <v>12.8</v>
      </c>
      <c r="E5" s="12">
        <v>12.7</v>
      </c>
    </row>
    <row r="6" spans="1:5" ht="18">
      <c r="A6" s="38" t="s">
        <v>12</v>
      </c>
      <c r="B6" s="13" t="s">
        <v>9</v>
      </c>
      <c r="C6" s="14">
        <v>15.3</v>
      </c>
      <c r="D6" s="14">
        <v>12.8</v>
      </c>
      <c r="E6" s="14">
        <v>10.5</v>
      </c>
    </row>
    <row r="7" spans="1:5" ht="18">
      <c r="A7" s="38"/>
      <c r="B7" s="11" t="s">
        <v>10</v>
      </c>
      <c r="C7" s="12">
        <v>14.1</v>
      </c>
      <c r="D7" s="12">
        <v>12.9</v>
      </c>
      <c r="E7" s="12">
        <v>12.7</v>
      </c>
    </row>
  </sheetData>
  <mergeCells count="3">
    <mergeCell ref="A2:A3"/>
    <mergeCell ref="A4:A5"/>
    <mergeCell ref="A6:A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8E31-E70E-D440-805E-79582E55A9A1}">
  <dimension ref="A1:D7"/>
  <sheetViews>
    <sheetView workbookViewId="0">
      <selection sqref="A1:D7"/>
    </sheetView>
  </sheetViews>
  <sheetFormatPr baseColWidth="10" defaultRowHeight="15"/>
  <sheetData>
    <row r="1" spans="1:4" ht="18">
      <c r="A1" s="9" t="s">
        <v>6</v>
      </c>
      <c r="B1" s="9" t="s">
        <v>7</v>
      </c>
      <c r="C1" s="10" t="s">
        <v>2</v>
      </c>
      <c r="D1" s="10" t="s">
        <v>3</v>
      </c>
    </row>
    <row r="2" spans="1:4" ht="18">
      <c r="A2" s="38" t="s">
        <v>13</v>
      </c>
      <c r="B2" s="11" t="s">
        <v>9</v>
      </c>
      <c r="C2" s="12">
        <v>23</v>
      </c>
      <c r="D2" s="12">
        <v>26.1</v>
      </c>
    </row>
    <row r="3" spans="1:4" ht="18">
      <c r="A3" s="38"/>
      <c r="B3" s="11" t="s">
        <v>10</v>
      </c>
      <c r="C3" s="12">
        <v>21.1</v>
      </c>
      <c r="D3" s="12">
        <v>23.3</v>
      </c>
    </row>
    <row r="4" spans="1:4" ht="18">
      <c r="A4" s="38" t="s">
        <v>11</v>
      </c>
      <c r="B4" s="11" t="s">
        <v>9</v>
      </c>
      <c r="C4" s="12">
        <v>22</v>
      </c>
      <c r="D4" s="12">
        <v>26</v>
      </c>
    </row>
    <row r="5" spans="1:4" ht="18">
      <c r="A5" s="38"/>
      <c r="B5" s="11" t="s">
        <v>10</v>
      </c>
      <c r="C5" s="12">
        <v>20.6</v>
      </c>
      <c r="D5" s="12">
        <v>22.8</v>
      </c>
    </row>
    <row r="6" spans="1:4" ht="18">
      <c r="A6" s="39" t="s">
        <v>12</v>
      </c>
      <c r="B6" s="13" t="s">
        <v>9</v>
      </c>
      <c r="C6" s="14">
        <v>21.6</v>
      </c>
      <c r="D6" s="14">
        <v>25.7</v>
      </c>
    </row>
    <row r="7" spans="1:4" ht="18">
      <c r="A7" s="39"/>
      <c r="B7" s="11" t="s">
        <v>10</v>
      </c>
      <c r="C7" s="12">
        <v>20.6</v>
      </c>
      <c r="D7" s="12">
        <v>23</v>
      </c>
    </row>
  </sheetData>
  <mergeCells count="3">
    <mergeCell ref="A2:A3"/>
    <mergeCell ref="A4:A5"/>
    <mergeCell ref="A6:A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5E1-B035-EC47-BDA6-DEBB1BCD9824}">
  <dimension ref="A1:J4"/>
  <sheetViews>
    <sheetView workbookViewId="0">
      <selection activeCell="E16" sqref="E16"/>
    </sheetView>
  </sheetViews>
  <sheetFormatPr baseColWidth="10" defaultRowHeight="15"/>
  <sheetData>
    <row r="1" spans="1:10" ht="17">
      <c r="A1" s="40" t="s">
        <v>14</v>
      </c>
      <c r="B1" s="40" t="s">
        <v>15</v>
      </c>
      <c r="C1" s="40"/>
      <c r="D1" s="40"/>
      <c r="E1" s="40" t="s">
        <v>16</v>
      </c>
      <c r="F1" s="40"/>
      <c r="G1" s="40"/>
      <c r="H1" s="40" t="s">
        <v>17</v>
      </c>
      <c r="I1" s="40"/>
      <c r="J1" s="40"/>
    </row>
    <row r="2" spans="1:10" ht="18">
      <c r="A2" s="40"/>
      <c r="B2" s="10" t="s">
        <v>18</v>
      </c>
      <c r="C2" s="10" t="s">
        <v>19</v>
      </c>
      <c r="D2" s="10" t="s">
        <v>20</v>
      </c>
      <c r="E2" s="10" t="s">
        <v>18</v>
      </c>
      <c r="F2" s="10" t="s">
        <v>19</v>
      </c>
      <c r="G2" s="10" t="s">
        <v>20</v>
      </c>
      <c r="H2" s="10" t="s">
        <v>18</v>
      </c>
      <c r="I2" s="10" t="s">
        <v>19</v>
      </c>
      <c r="J2" s="10" t="s">
        <v>20</v>
      </c>
    </row>
    <row r="3" spans="1:10" ht="18">
      <c r="A3" s="15" t="s">
        <v>9</v>
      </c>
      <c r="B3" s="12">
        <v>4</v>
      </c>
      <c r="C3" s="12">
        <v>0.2</v>
      </c>
      <c r="D3" s="12">
        <v>4.2</v>
      </c>
      <c r="E3" s="12">
        <v>0.6</v>
      </c>
      <c r="F3" s="12">
        <v>0.8</v>
      </c>
      <c r="G3" s="12">
        <v>1.4</v>
      </c>
      <c r="H3" s="12">
        <v>4.7</v>
      </c>
      <c r="I3" s="12">
        <v>1</v>
      </c>
      <c r="J3" s="12">
        <v>5.6</v>
      </c>
    </row>
    <row r="4" spans="1:10" ht="18">
      <c r="A4" s="15" t="s">
        <v>10</v>
      </c>
      <c r="B4" s="12">
        <v>3</v>
      </c>
      <c r="C4" s="12">
        <v>0.3</v>
      </c>
      <c r="D4" s="12">
        <v>3.3</v>
      </c>
      <c r="E4" s="12">
        <v>0.9</v>
      </c>
      <c r="F4" s="12">
        <v>0.5</v>
      </c>
      <c r="G4" s="12">
        <v>1.4</v>
      </c>
      <c r="H4" s="12">
        <v>4</v>
      </c>
      <c r="I4" s="12">
        <v>0.7</v>
      </c>
      <c r="J4" s="12">
        <v>4.7</v>
      </c>
    </row>
  </sheetData>
  <mergeCells count="4">
    <mergeCell ref="A1:A2"/>
    <mergeCell ref="B1:D1"/>
    <mergeCell ref="E1:G1"/>
    <mergeCell ref="H1:J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9BF8-0248-3340-8CFC-238CA330F058}">
  <dimension ref="A1:D10"/>
  <sheetViews>
    <sheetView workbookViewId="0">
      <selection sqref="A1:D10"/>
    </sheetView>
  </sheetViews>
  <sheetFormatPr baseColWidth="10" defaultRowHeight="15"/>
  <sheetData>
    <row r="1" spans="1:4">
      <c r="A1" s="16" t="s">
        <v>21</v>
      </c>
      <c r="B1" s="16" t="s">
        <v>22</v>
      </c>
      <c r="C1" s="16" t="s">
        <v>23</v>
      </c>
      <c r="D1" s="16" t="s">
        <v>24</v>
      </c>
    </row>
    <row r="2" spans="1:4">
      <c r="A2" s="41">
        <v>2015</v>
      </c>
      <c r="B2" s="16" t="s">
        <v>25</v>
      </c>
      <c r="C2" s="16">
        <v>524</v>
      </c>
      <c r="D2" s="16">
        <v>490</v>
      </c>
    </row>
    <row r="3" spans="1:4">
      <c r="A3" s="41"/>
      <c r="B3" s="16" t="s">
        <v>26</v>
      </c>
      <c r="C3" s="16">
        <v>517</v>
      </c>
      <c r="D3" s="16">
        <v>493</v>
      </c>
    </row>
    <row r="4" spans="1:4">
      <c r="A4" s="41"/>
      <c r="B4" s="16" t="s">
        <v>27</v>
      </c>
      <c r="C4" s="16">
        <v>516</v>
      </c>
      <c r="D4" s="16">
        <v>493</v>
      </c>
    </row>
    <row r="5" spans="1:4">
      <c r="A5" s="41">
        <v>2018</v>
      </c>
      <c r="B5" s="16" t="s">
        <v>25</v>
      </c>
      <c r="C5" s="16">
        <v>526</v>
      </c>
      <c r="D5" s="16">
        <v>489</v>
      </c>
    </row>
    <row r="6" spans="1:4">
      <c r="A6" s="41"/>
      <c r="B6" s="16" t="s">
        <v>26</v>
      </c>
      <c r="C6" s="16">
        <v>514</v>
      </c>
      <c r="D6" s="16">
        <v>487</v>
      </c>
    </row>
    <row r="7" spans="1:4">
      <c r="A7" s="41"/>
      <c r="B7" s="16" t="s">
        <v>27</v>
      </c>
      <c r="C7" s="16">
        <v>519</v>
      </c>
      <c r="D7" s="16">
        <v>489</v>
      </c>
    </row>
    <row r="8" spans="1:4">
      <c r="A8" s="41">
        <v>2022</v>
      </c>
      <c r="B8" s="16" t="s">
        <v>25</v>
      </c>
      <c r="C8" s="16">
        <v>527</v>
      </c>
      <c r="D8" s="16">
        <v>472</v>
      </c>
    </row>
    <row r="9" spans="1:4">
      <c r="A9" s="41"/>
      <c r="B9" s="16" t="s">
        <v>26</v>
      </c>
      <c r="C9" s="16">
        <v>515</v>
      </c>
      <c r="D9" s="16">
        <v>476</v>
      </c>
    </row>
    <row r="10" spans="1:4">
      <c r="A10" s="41"/>
      <c r="B10" s="16" t="s">
        <v>27</v>
      </c>
      <c r="C10" s="16">
        <v>528</v>
      </c>
      <c r="D10" s="16">
        <v>485</v>
      </c>
    </row>
  </sheetData>
  <mergeCells count="3">
    <mergeCell ref="A2:A4"/>
    <mergeCell ref="A5:A7"/>
    <mergeCell ref="A8:A1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D707-A867-A948-BEDB-2791D6F59DA3}">
  <dimension ref="A1:E4"/>
  <sheetViews>
    <sheetView workbookViewId="0">
      <selection sqref="A1:E4"/>
    </sheetView>
  </sheetViews>
  <sheetFormatPr baseColWidth="10" defaultRowHeight="15"/>
  <sheetData>
    <row r="1" spans="1:5">
      <c r="A1" s="42"/>
      <c r="B1" s="44">
        <v>2012</v>
      </c>
      <c r="C1" s="45"/>
      <c r="D1" s="44">
        <v>2022</v>
      </c>
      <c r="E1" s="45"/>
    </row>
    <row r="2" spans="1:5">
      <c r="A2" s="43"/>
      <c r="B2" s="16" t="s">
        <v>23</v>
      </c>
      <c r="C2" s="16" t="s">
        <v>24</v>
      </c>
      <c r="D2" s="16" t="s">
        <v>23</v>
      </c>
      <c r="E2" s="16" t="s">
        <v>24</v>
      </c>
    </row>
    <row r="3" spans="1:5">
      <c r="A3" s="16" t="s">
        <v>28</v>
      </c>
      <c r="B3" s="16">
        <v>69.2</v>
      </c>
      <c r="C3" s="16">
        <v>63.3</v>
      </c>
      <c r="D3" s="16">
        <v>98.1</v>
      </c>
      <c r="E3" s="16">
        <v>68.3</v>
      </c>
    </row>
    <row r="4" spans="1:5">
      <c r="A4" s="16" t="s">
        <v>29</v>
      </c>
      <c r="B4" s="16">
        <v>45.3</v>
      </c>
      <c r="C4" s="16">
        <v>36.9</v>
      </c>
      <c r="D4" s="16">
        <v>40.299999999999997</v>
      </c>
      <c r="E4" s="16">
        <v>31.6</v>
      </c>
    </row>
  </sheetData>
  <mergeCells count="3">
    <mergeCell ref="A1:A2"/>
    <mergeCell ref="B1:C1"/>
    <mergeCell ref="D1:E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0ED4-7930-8246-A734-D0805EE4F8CF}">
  <dimension ref="A1:Q6"/>
  <sheetViews>
    <sheetView workbookViewId="0">
      <selection sqref="A1:Q6"/>
    </sheetView>
  </sheetViews>
  <sheetFormatPr baseColWidth="10" defaultRowHeight="15"/>
  <sheetData>
    <row r="1" spans="1:17">
      <c r="A1" s="17"/>
      <c r="B1" s="18">
        <v>2010</v>
      </c>
      <c r="C1" s="18">
        <v>2011</v>
      </c>
      <c r="D1" s="18">
        <v>2012</v>
      </c>
      <c r="E1" s="18">
        <v>2013</v>
      </c>
      <c r="F1" s="18">
        <v>2014</v>
      </c>
      <c r="G1" s="18">
        <v>2015</v>
      </c>
      <c r="H1" s="18">
        <v>2016</v>
      </c>
      <c r="I1" s="18">
        <v>2017</v>
      </c>
      <c r="J1" s="18">
        <v>2018</v>
      </c>
      <c r="K1" s="18">
        <v>2019</v>
      </c>
      <c r="L1" s="18">
        <v>2020</v>
      </c>
      <c r="M1" s="18">
        <v>2021</v>
      </c>
      <c r="N1" s="18">
        <v>2022</v>
      </c>
      <c r="O1" s="18">
        <v>2023</v>
      </c>
      <c r="P1" s="18">
        <v>2024</v>
      </c>
    </row>
    <row r="2" spans="1:17" ht="17">
      <c r="A2" s="19" t="s">
        <v>5</v>
      </c>
      <c r="B2" s="20">
        <v>24</v>
      </c>
      <c r="C2" s="20">
        <v>24</v>
      </c>
      <c r="D2" s="20">
        <v>23.6</v>
      </c>
      <c r="E2" s="20">
        <v>23.9</v>
      </c>
      <c r="F2" s="20">
        <v>24.2</v>
      </c>
      <c r="G2" s="20">
        <v>24.4</v>
      </c>
      <c r="H2" s="20">
        <v>25.6</v>
      </c>
      <c r="I2" s="20">
        <v>27.2</v>
      </c>
      <c r="J2" s="20">
        <v>29.1</v>
      </c>
      <c r="K2" s="20">
        <v>32.1</v>
      </c>
      <c r="L2" s="20">
        <v>30.2</v>
      </c>
      <c r="M2" s="20">
        <v>36.700000000000003</v>
      </c>
      <c r="N2" s="20">
        <v>41</v>
      </c>
      <c r="O2" s="20">
        <v>43.4</v>
      </c>
      <c r="P2" s="20">
        <v>47.4</v>
      </c>
      <c r="Q2" s="21">
        <f>P2-B2</f>
        <v>23.4</v>
      </c>
    </row>
    <row r="3" spans="1:17" ht="17">
      <c r="A3" s="17" t="s">
        <v>2</v>
      </c>
      <c r="B3" s="20">
        <v>24.5</v>
      </c>
      <c r="C3" s="20">
        <v>24.1</v>
      </c>
      <c r="D3" s="20">
        <v>21.9</v>
      </c>
      <c r="E3" s="20">
        <v>23.2</v>
      </c>
      <c r="F3" s="20">
        <v>23.2</v>
      </c>
      <c r="G3" s="20">
        <v>23.1</v>
      </c>
      <c r="H3" s="20">
        <v>24.1</v>
      </c>
      <c r="I3" s="20">
        <v>25.3</v>
      </c>
      <c r="J3" s="20">
        <v>26.3</v>
      </c>
      <c r="K3" s="20">
        <v>29</v>
      </c>
      <c r="L3" s="20">
        <v>23.5</v>
      </c>
      <c r="M3" s="20">
        <v>32.799999999999997</v>
      </c>
      <c r="N3" s="20">
        <v>37.200000000000003</v>
      </c>
      <c r="O3" s="20">
        <v>39.799999999999997</v>
      </c>
      <c r="P3" s="20">
        <v>44.2</v>
      </c>
      <c r="Q3" s="21">
        <f t="shared" ref="Q3:Q6" si="0">P3-B3</f>
        <v>19.700000000000003</v>
      </c>
    </row>
    <row r="4" spans="1:17" ht="17">
      <c r="A4" s="17" t="s">
        <v>3</v>
      </c>
      <c r="B4" s="20">
        <v>25.5</v>
      </c>
      <c r="C4" s="20">
        <v>26.2</v>
      </c>
      <c r="D4" s="20">
        <v>27.6</v>
      </c>
      <c r="E4" s="20">
        <v>26.7</v>
      </c>
      <c r="F4" s="20">
        <v>27</v>
      </c>
      <c r="G4" s="20">
        <v>27.5</v>
      </c>
      <c r="H4" s="20">
        <v>27.5</v>
      </c>
      <c r="I4" s="20">
        <v>29.1</v>
      </c>
      <c r="J4" s="20">
        <v>31.2</v>
      </c>
      <c r="K4" s="20">
        <v>33.799999999999997</v>
      </c>
      <c r="L4" s="20">
        <v>34.200000000000003</v>
      </c>
      <c r="M4" s="20">
        <v>39.200000000000003</v>
      </c>
      <c r="N4" s="20">
        <v>43.8</v>
      </c>
      <c r="O4" s="20">
        <v>44.9</v>
      </c>
      <c r="P4" s="20">
        <v>49</v>
      </c>
      <c r="Q4" s="21">
        <f t="shared" si="0"/>
        <v>23.5</v>
      </c>
    </row>
    <row r="5" spans="1:17" ht="17">
      <c r="A5" s="17" t="s">
        <v>4</v>
      </c>
      <c r="B5" s="20">
        <v>21.8</v>
      </c>
      <c r="C5" s="20">
        <v>21.8</v>
      </c>
      <c r="D5" s="20">
        <v>22.4</v>
      </c>
      <c r="E5" s="20">
        <v>22.3</v>
      </c>
      <c r="F5" s="20">
        <v>23</v>
      </c>
      <c r="G5" s="20">
        <v>23.6</v>
      </c>
      <c r="H5" s="20">
        <v>26.2</v>
      </c>
      <c r="I5" s="20">
        <v>28.5</v>
      </c>
      <c r="J5" s="20">
        <v>32.1</v>
      </c>
      <c r="K5" s="20">
        <v>36.5</v>
      </c>
      <c r="L5" s="20">
        <v>39.6</v>
      </c>
      <c r="M5" s="20">
        <v>41.9</v>
      </c>
      <c r="N5" s="20">
        <v>46</v>
      </c>
      <c r="O5" s="20">
        <v>49.1</v>
      </c>
      <c r="P5" s="20">
        <v>52</v>
      </c>
      <c r="Q5" s="21">
        <f t="shared" si="0"/>
        <v>30.2</v>
      </c>
    </row>
    <row r="6" spans="1:17" ht="17">
      <c r="A6" s="22" t="s">
        <v>30</v>
      </c>
      <c r="B6" s="23">
        <v>26.5</v>
      </c>
      <c r="C6" s="23">
        <v>25.9</v>
      </c>
      <c r="D6" s="23">
        <v>26.5</v>
      </c>
      <c r="E6" s="23">
        <v>26.2</v>
      </c>
      <c r="F6" s="23">
        <v>26.9</v>
      </c>
      <c r="G6" s="23">
        <v>27.6</v>
      </c>
      <c r="H6" s="23">
        <v>30.4</v>
      </c>
      <c r="I6" s="23">
        <v>33.200000000000003</v>
      </c>
      <c r="J6" s="23">
        <v>37.6</v>
      </c>
      <c r="K6" s="23">
        <v>42.5</v>
      </c>
      <c r="L6" s="23">
        <v>45.7</v>
      </c>
      <c r="M6" s="23">
        <v>48.2</v>
      </c>
      <c r="N6" s="23">
        <v>52.5</v>
      </c>
      <c r="O6" s="23">
        <v>55.5</v>
      </c>
      <c r="P6" s="23">
        <v>58.7</v>
      </c>
      <c r="Q6" s="21">
        <f t="shared" si="0"/>
        <v>32.200000000000003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FF56-01BD-2B40-9D11-F5A8A2658F58}">
  <dimension ref="A1:B38"/>
  <sheetViews>
    <sheetView workbookViewId="0">
      <selection sqref="A1:B38"/>
    </sheetView>
  </sheetViews>
  <sheetFormatPr baseColWidth="10" defaultRowHeight="15"/>
  <sheetData>
    <row r="1" spans="1:2" ht="17">
      <c r="A1" s="24" t="s">
        <v>31</v>
      </c>
      <c r="B1" s="24" t="s">
        <v>32</v>
      </c>
    </row>
    <row r="2" spans="1:2" ht="17">
      <c r="A2" s="25" t="s">
        <v>33</v>
      </c>
      <c r="B2" s="26">
        <v>0.29399999999999998</v>
      </c>
    </row>
    <row r="3" spans="1:2" ht="17">
      <c r="A3" s="25" t="s">
        <v>34</v>
      </c>
      <c r="B3" s="26">
        <v>0.32500000000000001</v>
      </c>
    </row>
    <row r="4" spans="1:2" ht="17">
      <c r="A4" s="25" t="s">
        <v>35</v>
      </c>
      <c r="B4" s="26">
        <v>0.32900000000000001</v>
      </c>
    </row>
    <row r="5" spans="1:2" ht="17">
      <c r="A5" s="25" t="s">
        <v>36</v>
      </c>
      <c r="B5" s="26">
        <v>0.39200000000000002</v>
      </c>
    </row>
    <row r="6" spans="1:2" ht="17">
      <c r="A6" s="25" t="s">
        <v>37</v>
      </c>
      <c r="B6" s="26">
        <v>0.41499999999999998</v>
      </c>
    </row>
    <row r="7" spans="1:2" ht="17">
      <c r="A7" s="25" t="s">
        <v>38</v>
      </c>
      <c r="B7" s="26">
        <v>0.436</v>
      </c>
    </row>
    <row r="8" spans="1:2" ht="17">
      <c r="A8" s="25" t="s">
        <v>39</v>
      </c>
      <c r="B8" s="26">
        <v>0.437</v>
      </c>
    </row>
    <row r="9" spans="1:2" ht="17">
      <c r="A9" s="25" t="s">
        <v>40</v>
      </c>
      <c r="B9" s="26">
        <v>0.44600000000000001</v>
      </c>
    </row>
    <row r="10" spans="1:2" ht="17">
      <c r="A10" s="25" t="s">
        <v>41</v>
      </c>
      <c r="B10" s="26">
        <v>0.44800000000000001</v>
      </c>
    </row>
    <row r="11" spans="1:2" ht="17">
      <c r="A11" s="25" t="s">
        <v>42</v>
      </c>
      <c r="B11" s="26">
        <v>0.44900000000000001</v>
      </c>
    </row>
    <row r="12" spans="1:2" ht="17">
      <c r="A12" s="25" t="s">
        <v>43</v>
      </c>
      <c r="B12" s="26">
        <v>0.45800000000000002</v>
      </c>
    </row>
    <row r="13" spans="1:2" ht="17">
      <c r="A13" s="25" t="s">
        <v>44</v>
      </c>
      <c r="B13" s="26">
        <v>0.45900000000000002</v>
      </c>
    </row>
    <row r="14" spans="1:2" ht="17">
      <c r="A14" s="25" t="s">
        <v>45</v>
      </c>
      <c r="B14" s="26">
        <v>0.47199999999999998</v>
      </c>
    </row>
    <row r="15" spans="1:2" ht="17">
      <c r="A15" s="25" t="s">
        <v>46</v>
      </c>
      <c r="B15" s="26">
        <v>0.47399999999999998</v>
      </c>
    </row>
    <row r="16" spans="1:2" ht="17">
      <c r="A16" s="25" t="s">
        <v>47</v>
      </c>
      <c r="B16" s="26">
        <v>0.47499999999999998</v>
      </c>
    </row>
    <row r="17" spans="1:2" ht="17">
      <c r="A17" s="25" t="s">
        <v>48</v>
      </c>
      <c r="B17" s="26">
        <v>0.47599999999999998</v>
      </c>
    </row>
    <row r="18" spans="1:2" ht="17">
      <c r="A18" s="25" t="s">
        <v>49</v>
      </c>
      <c r="B18" s="26">
        <v>0.47599999999999998</v>
      </c>
    </row>
    <row r="19" spans="1:2" ht="17">
      <c r="A19" s="25" t="s">
        <v>50</v>
      </c>
      <c r="B19" s="26">
        <v>0.48199999999999998</v>
      </c>
    </row>
    <row r="20" spans="1:2" ht="17">
      <c r="A20" s="25" t="s">
        <v>51</v>
      </c>
      <c r="B20" s="26">
        <v>0.48299999999999998</v>
      </c>
    </row>
    <row r="21" spans="1:2" ht="17">
      <c r="A21" s="25" t="s">
        <v>52</v>
      </c>
      <c r="B21" s="26">
        <v>0.49099999999999999</v>
      </c>
    </row>
    <row r="22" spans="1:2" ht="17">
      <c r="A22" s="25" t="s">
        <v>53</v>
      </c>
      <c r="B22" s="26">
        <v>0.49299999999999999</v>
      </c>
    </row>
    <row r="23" spans="1:2" ht="17">
      <c r="A23" s="25" t="s">
        <v>54</v>
      </c>
      <c r="B23" s="26">
        <v>0.49299999999999999</v>
      </c>
    </row>
    <row r="24" spans="1:2" ht="17">
      <c r="A24" s="25" t="s">
        <v>55</v>
      </c>
      <c r="B24" s="26">
        <v>0.49399999999999999</v>
      </c>
    </row>
    <row r="25" spans="1:2" ht="17">
      <c r="A25" s="25" t="s">
        <v>56</v>
      </c>
      <c r="B25" s="26">
        <v>0.499</v>
      </c>
    </row>
    <row r="26" spans="1:2" ht="17">
      <c r="A26" s="25" t="s">
        <v>57</v>
      </c>
      <c r="B26" s="26">
        <v>0.50700000000000001</v>
      </c>
    </row>
    <row r="27" spans="1:2" ht="17">
      <c r="A27" s="25" t="s">
        <v>58</v>
      </c>
      <c r="B27" s="26">
        <v>0.52500000000000002</v>
      </c>
    </row>
    <row r="28" spans="1:2" ht="17">
      <c r="A28" s="25" t="s">
        <v>59</v>
      </c>
      <c r="B28" s="26">
        <v>0.53300000000000003</v>
      </c>
    </row>
    <row r="29" spans="1:2" ht="17">
      <c r="A29" s="25" t="s">
        <v>60</v>
      </c>
      <c r="B29" s="26">
        <v>0.55900000000000005</v>
      </c>
    </row>
    <row r="30" spans="1:2" ht="17">
      <c r="A30" s="25" t="s">
        <v>61</v>
      </c>
      <c r="B30" s="26">
        <v>0.56599999999999995</v>
      </c>
    </row>
    <row r="31" spans="1:2" ht="17">
      <c r="A31" s="25" t="s">
        <v>62</v>
      </c>
      <c r="B31" s="26">
        <v>0.56899999999999995</v>
      </c>
    </row>
    <row r="32" spans="1:2" ht="17">
      <c r="A32" s="25" t="s">
        <v>63</v>
      </c>
      <c r="B32" s="26">
        <v>0.57899999999999996</v>
      </c>
    </row>
    <row r="33" spans="1:2" ht="17">
      <c r="A33" s="25" t="s">
        <v>64</v>
      </c>
      <c r="B33" s="26">
        <v>0.61399999999999999</v>
      </c>
    </row>
    <row r="34" spans="1:2" ht="17">
      <c r="A34" s="25" t="s">
        <v>65</v>
      </c>
      <c r="B34" s="26">
        <v>0.625</v>
      </c>
    </row>
    <row r="35" spans="1:2" ht="17">
      <c r="A35" s="25" t="s">
        <v>66</v>
      </c>
      <c r="B35" s="26">
        <v>0.67500000000000004</v>
      </c>
    </row>
    <row r="36" spans="1:2" ht="17">
      <c r="A36" s="25" t="s">
        <v>67</v>
      </c>
      <c r="B36" s="26">
        <v>0.68700000000000006</v>
      </c>
    </row>
    <row r="37" spans="1:2" ht="17">
      <c r="A37" s="25" t="s">
        <v>68</v>
      </c>
      <c r="B37" s="26">
        <v>0.69699999999999995</v>
      </c>
    </row>
    <row r="38" spans="1:2" ht="17">
      <c r="A38" s="25" t="s">
        <v>9</v>
      </c>
      <c r="B38" s="26">
        <v>0.7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1DED-5EAA-9747-9F0F-9F59149F1D5A}">
  <dimension ref="A1:J9"/>
  <sheetViews>
    <sheetView workbookViewId="0">
      <selection sqref="A1:J9"/>
    </sheetView>
  </sheetViews>
  <sheetFormatPr baseColWidth="10" defaultRowHeight="15"/>
  <sheetData>
    <row r="1" spans="1:10" ht="17">
      <c r="A1" s="24" t="s">
        <v>69</v>
      </c>
      <c r="B1" s="24" t="s">
        <v>14</v>
      </c>
      <c r="C1" s="24" t="s">
        <v>70</v>
      </c>
      <c r="D1" s="24" t="s">
        <v>71</v>
      </c>
      <c r="E1" s="24" t="s">
        <v>72</v>
      </c>
      <c r="F1" s="24" t="s">
        <v>73</v>
      </c>
      <c r="G1" s="24" t="s">
        <v>74</v>
      </c>
      <c r="H1" s="24" t="s">
        <v>75</v>
      </c>
      <c r="I1" s="24" t="s">
        <v>76</v>
      </c>
    </row>
    <row r="2" spans="1:10" ht="17">
      <c r="A2" s="46" t="s">
        <v>77</v>
      </c>
      <c r="B2" s="25" t="s">
        <v>78</v>
      </c>
      <c r="C2" s="25">
        <v>1.7</v>
      </c>
      <c r="D2" s="25">
        <v>17.600000000000001</v>
      </c>
      <c r="E2" s="25">
        <v>50.8</v>
      </c>
      <c r="F2" s="25">
        <v>23.4</v>
      </c>
      <c r="G2" s="25">
        <v>6.5</v>
      </c>
      <c r="H2" s="25">
        <v>2.62</v>
      </c>
      <c r="I2" s="25">
        <v>2.85</v>
      </c>
      <c r="J2">
        <f>F2+G2</f>
        <v>29.9</v>
      </c>
    </row>
    <row r="3" spans="1:10" ht="17">
      <c r="A3" s="47"/>
      <c r="B3" s="25" t="s">
        <v>79</v>
      </c>
      <c r="C3" s="25">
        <v>1.9</v>
      </c>
      <c r="D3" s="25">
        <v>18.5</v>
      </c>
      <c r="E3" s="25">
        <v>49.9</v>
      </c>
      <c r="F3" s="25">
        <v>22.1</v>
      </c>
      <c r="G3" s="25">
        <v>7.5</v>
      </c>
      <c r="H3" s="25">
        <v>2.62</v>
      </c>
      <c r="I3" s="25">
        <v>2.85</v>
      </c>
      <c r="J3">
        <f t="shared" ref="J3:J9" si="0">F3+G3</f>
        <v>29.6</v>
      </c>
    </row>
    <row r="4" spans="1:10" ht="17">
      <c r="A4" s="42" t="s">
        <v>80</v>
      </c>
      <c r="B4" s="25" t="s">
        <v>78</v>
      </c>
      <c r="C4" s="16">
        <v>2.9</v>
      </c>
      <c r="D4" s="16">
        <v>27.1</v>
      </c>
      <c r="E4" s="16">
        <v>45.3</v>
      </c>
      <c r="F4" s="16">
        <v>18.7</v>
      </c>
      <c r="G4" s="16">
        <v>6</v>
      </c>
      <c r="H4" s="16">
        <v>2.77</v>
      </c>
      <c r="I4" s="16">
        <v>3.02</v>
      </c>
      <c r="J4">
        <f t="shared" si="0"/>
        <v>24.7</v>
      </c>
    </row>
    <row r="5" spans="1:10" ht="17">
      <c r="A5" s="43"/>
      <c r="B5" s="25" t="s">
        <v>79</v>
      </c>
      <c r="C5" s="16">
        <v>4.8</v>
      </c>
      <c r="D5" s="16">
        <v>29.3</v>
      </c>
      <c r="E5" s="16">
        <v>41.7</v>
      </c>
      <c r="F5" s="16">
        <v>17.600000000000001</v>
      </c>
      <c r="G5" s="16">
        <v>6.6</v>
      </c>
      <c r="H5" s="16">
        <v>2.88</v>
      </c>
      <c r="I5" s="16">
        <v>3.08</v>
      </c>
      <c r="J5">
        <f t="shared" si="0"/>
        <v>24.200000000000003</v>
      </c>
    </row>
    <row r="6" spans="1:10" ht="17">
      <c r="A6" s="46" t="s">
        <v>3</v>
      </c>
      <c r="B6" s="25" t="s">
        <v>78</v>
      </c>
      <c r="C6" s="25">
        <v>1.9</v>
      </c>
      <c r="D6" s="25">
        <v>18.8</v>
      </c>
      <c r="E6" s="25">
        <v>48.4</v>
      </c>
      <c r="F6" s="25">
        <v>24</v>
      </c>
      <c r="G6" s="25">
        <v>6.9</v>
      </c>
      <c r="H6" s="25">
        <v>2.65</v>
      </c>
      <c r="I6" s="25">
        <v>2.85</v>
      </c>
      <c r="J6">
        <f t="shared" si="0"/>
        <v>30.9</v>
      </c>
    </row>
    <row r="7" spans="1:10" ht="17">
      <c r="A7" s="47"/>
      <c r="B7" s="25" t="s">
        <v>79</v>
      </c>
      <c r="C7" s="25">
        <v>2.8</v>
      </c>
      <c r="D7" s="25">
        <v>21.2</v>
      </c>
      <c r="E7" s="25">
        <v>46.3</v>
      </c>
      <c r="F7" s="25">
        <v>22.1</v>
      </c>
      <c r="G7" s="25">
        <v>7.5</v>
      </c>
      <c r="H7" s="25">
        <v>2.7</v>
      </c>
      <c r="I7" s="25">
        <v>2.9</v>
      </c>
      <c r="J7">
        <f t="shared" si="0"/>
        <v>29.6</v>
      </c>
    </row>
    <row r="8" spans="1:10" ht="17">
      <c r="A8" s="46" t="s">
        <v>4</v>
      </c>
      <c r="B8" s="25" t="s">
        <v>78</v>
      </c>
      <c r="C8" s="25">
        <v>2.1</v>
      </c>
      <c r="D8" s="25">
        <v>15.7</v>
      </c>
      <c r="E8" s="25">
        <v>45.7</v>
      </c>
      <c r="F8" s="25">
        <v>27.7</v>
      </c>
      <c r="G8" s="25">
        <v>8.9</v>
      </c>
      <c r="H8" s="25">
        <v>2.57</v>
      </c>
      <c r="I8" s="25">
        <v>2.74</v>
      </c>
      <c r="J8">
        <f t="shared" si="0"/>
        <v>36.6</v>
      </c>
    </row>
    <row r="9" spans="1:10" ht="17">
      <c r="A9" s="47"/>
      <c r="B9" s="25" t="s">
        <v>79</v>
      </c>
      <c r="C9" s="25">
        <v>2.8</v>
      </c>
      <c r="D9" s="25">
        <v>16.5</v>
      </c>
      <c r="E9" s="25">
        <v>44.9</v>
      </c>
      <c r="F9" s="25">
        <v>25.2</v>
      </c>
      <c r="G9" s="25">
        <v>10.6</v>
      </c>
      <c r="H9" s="25">
        <v>2.5299999999999998</v>
      </c>
      <c r="I9" s="25">
        <v>2.76</v>
      </c>
      <c r="J9">
        <f t="shared" si="0"/>
        <v>35.799999999999997</v>
      </c>
    </row>
  </sheetData>
  <mergeCells count="4">
    <mergeCell ref="A2:A3"/>
    <mergeCell ref="A4:A5"/>
    <mergeCell ref="A6:A7"/>
    <mergeCell ref="A8:A9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401F-6A30-B740-A3B7-E1564143CC6D}">
  <dimension ref="A1:D7"/>
  <sheetViews>
    <sheetView workbookViewId="0">
      <selection sqref="A1:D7"/>
    </sheetView>
  </sheetViews>
  <sheetFormatPr baseColWidth="10" defaultRowHeight="15"/>
  <sheetData>
    <row r="1" spans="1:4" ht="17">
      <c r="A1" s="24" t="s">
        <v>31</v>
      </c>
      <c r="B1" s="24" t="s">
        <v>81</v>
      </c>
      <c r="C1" s="24" t="s">
        <v>82</v>
      </c>
      <c r="D1" s="24" t="s">
        <v>83</v>
      </c>
    </row>
    <row r="2" spans="1:4" ht="17">
      <c r="A2" s="27" t="s">
        <v>9</v>
      </c>
      <c r="B2" s="28">
        <v>55.3</v>
      </c>
      <c r="C2" s="28">
        <v>41.9</v>
      </c>
      <c r="D2" s="29">
        <v>0.1</v>
      </c>
    </row>
    <row r="3" spans="1:4" ht="17">
      <c r="A3" s="27" t="s">
        <v>64</v>
      </c>
      <c r="B3" s="28">
        <v>62.1</v>
      </c>
      <c r="C3" s="28">
        <v>32.700000000000003</v>
      </c>
      <c r="D3" s="29">
        <v>0.26</v>
      </c>
    </row>
    <row r="4" spans="1:4" ht="17">
      <c r="A4" s="27" t="s">
        <v>49</v>
      </c>
      <c r="B4" s="28">
        <v>48.6</v>
      </c>
      <c r="C4" s="28">
        <v>17.8</v>
      </c>
      <c r="D4" s="29">
        <v>-0.41</v>
      </c>
    </row>
    <row r="5" spans="1:4" ht="17">
      <c r="A5" s="27" t="s">
        <v>68</v>
      </c>
      <c r="B5" s="28">
        <v>52.8</v>
      </c>
      <c r="C5" s="28">
        <v>27.5</v>
      </c>
      <c r="D5" s="29">
        <v>-0.22</v>
      </c>
    </row>
    <row r="6" spans="1:4" ht="17">
      <c r="A6" s="27" t="s">
        <v>62</v>
      </c>
      <c r="B6" s="28">
        <v>45.1</v>
      </c>
      <c r="C6" s="28">
        <v>26</v>
      </c>
      <c r="D6" s="29">
        <v>-0.11</v>
      </c>
    </row>
    <row r="7" spans="1:4" ht="17">
      <c r="A7" s="27" t="s">
        <v>10</v>
      </c>
      <c r="B7" s="28">
        <v>55.5</v>
      </c>
      <c r="C7" s="28">
        <v>36.6</v>
      </c>
      <c r="D7" s="29">
        <v>0.01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931B-4627-C947-95C4-E8EF83A0BDAA}">
  <dimension ref="A1:F6"/>
  <sheetViews>
    <sheetView workbookViewId="0">
      <selection sqref="A1:F6"/>
    </sheetView>
  </sheetViews>
  <sheetFormatPr baseColWidth="10" defaultRowHeight="15"/>
  <sheetData>
    <row r="1" spans="1:6">
      <c r="A1" s="4" t="s">
        <v>0</v>
      </c>
      <c r="B1" s="4">
        <v>2009</v>
      </c>
      <c r="C1" s="4">
        <v>2012</v>
      </c>
      <c r="D1" s="4">
        <v>2015</v>
      </c>
      <c r="E1" s="4">
        <v>2018</v>
      </c>
      <c r="F1" s="4">
        <v>2022</v>
      </c>
    </row>
    <row r="2" spans="1:6" ht="17">
      <c r="A2" s="4" t="s">
        <v>9</v>
      </c>
      <c r="B2" s="30">
        <v>2.74</v>
      </c>
      <c r="C2" s="30">
        <v>2.84</v>
      </c>
      <c r="D2" s="30">
        <v>2.92</v>
      </c>
      <c r="E2" s="30">
        <v>2.9</v>
      </c>
      <c r="F2" s="30">
        <v>2.86</v>
      </c>
    </row>
    <row r="3" spans="1:6" ht="17">
      <c r="A3" s="4" t="s">
        <v>46</v>
      </c>
      <c r="B3" s="30">
        <v>2.74</v>
      </c>
      <c r="C3" s="30">
        <v>2.8</v>
      </c>
      <c r="D3" s="30">
        <v>2.89</v>
      </c>
      <c r="E3" s="30">
        <v>2.86</v>
      </c>
      <c r="F3" s="30">
        <v>2.88</v>
      </c>
    </row>
    <row r="4" spans="1:6" ht="17">
      <c r="A4" s="4" t="s">
        <v>39</v>
      </c>
      <c r="B4" s="30">
        <v>2.98</v>
      </c>
      <c r="C4" s="30">
        <v>2.97</v>
      </c>
      <c r="D4" s="30">
        <v>2.99</v>
      </c>
      <c r="E4" s="30">
        <v>3.02</v>
      </c>
      <c r="F4" s="30">
        <v>2.99</v>
      </c>
    </row>
    <row r="5" spans="1:6" ht="17">
      <c r="A5" s="4" t="s">
        <v>65</v>
      </c>
      <c r="B5" s="30">
        <v>3.05</v>
      </c>
      <c r="C5" s="30">
        <v>3.06</v>
      </c>
      <c r="D5" s="30">
        <v>3.13</v>
      </c>
      <c r="E5" s="30">
        <v>3.06</v>
      </c>
      <c r="F5" s="30">
        <v>3.05</v>
      </c>
    </row>
    <row r="6" spans="1:6" ht="17">
      <c r="A6" s="4" t="s">
        <v>84</v>
      </c>
      <c r="B6" s="30">
        <v>2.94</v>
      </c>
      <c r="C6" s="30">
        <v>2.97</v>
      </c>
      <c r="D6" s="30">
        <v>3.03</v>
      </c>
      <c r="E6" s="30">
        <v>3.04</v>
      </c>
      <c r="F6" s="30">
        <v>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F44B-8B8C-894E-8671-B1E2A0C674B1}">
  <dimension ref="A1:L4"/>
  <sheetViews>
    <sheetView workbookViewId="0">
      <selection sqref="A1:L4"/>
    </sheetView>
  </sheetViews>
  <sheetFormatPr baseColWidth="10" defaultRowHeight="15"/>
  <sheetData>
    <row r="1" spans="1:12">
      <c r="A1" s="18"/>
      <c r="B1" s="18">
        <v>2000</v>
      </c>
      <c r="C1" s="18">
        <v>2004</v>
      </c>
      <c r="D1" s="18">
        <v>2008</v>
      </c>
      <c r="E1" s="18">
        <v>2010</v>
      </c>
      <c r="F1" s="18">
        <v>2012</v>
      </c>
      <c r="G1" s="18">
        <v>2014</v>
      </c>
      <c r="H1" s="18">
        <v>2016</v>
      </c>
      <c r="I1" s="18">
        <v>2018</v>
      </c>
      <c r="J1" s="18">
        <v>2020</v>
      </c>
      <c r="K1" s="18">
        <v>2022</v>
      </c>
      <c r="L1" s="18">
        <v>2024</v>
      </c>
    </row>
    <row r="2" spans="1:12">
      <c r="A2" s="18" t="s">
        <v>85</v>
      </c>
      <c r="B2" s="31">
        <v>17.399999999999999</v>
      </c>
      <c r="C2" s="31">
        <v>14.9</v>
      </c>
      <c r="D2" s="31">
        <v>20.8</v>
      </c>
      <c r="E2" s="31">
        <v>18.399999999999999</v>
      </c>
      <c r="F2" s="31">
        <v>21.5</v>
      </c>
      <c r="G2" s="31">
        <v>18.7</v>
      </c>
      <c r="H2" s="31">
        <v>21.1</v>
      </c>
      <c r="I2" s="31">
        <v>19.5</v>
      </c>
      <c r="J2" s="31">
        <v>22.3</v>
      </c>
      <c r="K2" s="31">
        <v>20.2</v>
      </c>
      <c r="L2" s="31">
        <v>19.399999999999999</v>
      </c>
    </row>
    <row r="3" spans="1:12">
      <c r="A3" s="18" t="s">
        <v>86</v>
      </c>
      <c r="B3" s="31">
        <v>35.799999999999997</v>
      </c>
      <c r="C3" s="31">
        <v>34.799999999999997</v>
      </c>
      <c r="D3" s="31">
        <v>37.6</v>
      </c>
      <c r="E3" s="31">
        <v>35.200000000000003</v>
      </c>
      <c r="F3" s="31">
        <v>35.9</v>
      </c>
      <c r="G3" s="31">
        <v>35</v>
      </c>
      <c r="H3" s="31">
        <v>32.6</v>
      </c>
      <c r="I3" s="31">
        <v>32.9</v>
      </c>
      <c r="J3" s="31">
        <v>33.4</v>
      </c>
      <c r="K3" s="31">
        <v>33.5</v>
      </c>
      <c r="L3" s="31">
        <v>32.1</v>
      </c>
    </row>
    <row r="4" spans="1:12">
      <c r="A4" s="18" t="s">
        <v>87</v>
      </c>
      <c r="B4" s="31">
        <v>45.3</v>
      </c>
      <c r="C4" s="31">
        <v>44.2</v>
      </c>
      <c r="D4" s="31">
        <v>51.6</v>
      </c>
      <c r="E4" s="31">
        <v>50.5</v>
      </c>
      <c r="F4" s="31">
        <v>49</v>
      </c>
      <c r="G4" s="31">
        <v>48.1</v>
      </c>
      <c r="H4" s="31">
        <v>46.5</v>
      </c>
      <c r="I4" s="31">
        <v>46.9</v>
      </c>
      <c r="J4" s="31">
        <v>46.8</v>
      </c>
      <c r="K4" s="31">
        <v>46.9</v>
      </c>
      <c r="L4" s="31">
        <v>48.8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831C-3796-C444-A9A1-8D74208530CC}">
  <dimension ref="A1:D5"/>
  <sheetViews>
    <sheetView workbookViewId="0">
      <selection sqref="A1:D5"/>
    </sheetView>
  </sheetViews>
  <sheetFormatPr baseColWidth="10" defaultRowHeight="15"/>
  <sheetData>
    <row r="1" spans="1:4" ht="17">
      <c r="A1" s="24" t="s">
        <v>14</v>
      </c>
      <c r="B1" s="24" t="s">
        <v>78</v>
      </c>
      <c r="C1" s="24" t="s">
        <v>88</v>
      </c>
      <c r="D1" s="24" t="s">
        <v>1</v>
      </c>
    </row>
    <row r="2" spans="1:4" ht="17">
      <c r="A2" s="25" t="s">
        <v>89</v>
      </c>
      <c r="B2" s="25">
        <v>78.3</v>
      </c>
      <c r="C2" s="25">
        <v>78.099999999999994</v>
      </c>
      <c r="D2" s="25">
        <v>78.7</v>
      </c>
    </row>
    <row r="3" spans="1:4" ht="17">
      <c r="A3" s="25" t="s">
        <v>90</v>
      </c>
      <c r="B3" s="25">
        <v>80.900000000000006</v>
      </c>
      <c r="C3" s="25">
        <v>80.900000000000006</v>
      </c>
      <c r="D3" s="25">
        <v>81.2</v>
      </c>
    </row>
    <row r="4" spans="1:4" ht="17">
      <c r="A4" s="25" t="s">
        <v>8</v>
      </c>
      <c r="B4" s="25">
        <v>77.7</v>
      </c>
      <c r="C4" s="25">
        <v>79</v>
      </c>
      <c r="D4" s="25">
        <v>76.7</v>
      </c>
    </row>
    <row r="5" spans="1:4" ht="17">
      <c r="A5" s="25" t="s">
        <v>91</v>
      </c>
      <c r="B5" s="25">
        <v>91.9</v>
      </c>
      <c r="C5" s="25">
        <v>92.4</v>
      </c>
      <c r="D5" s="25">
        <v>91.7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DFC5-9C56-1645-B068-61FF4200B152}">
  <dimension ref="A1:C31"/>
  <sheetViews>
    <sheetView workbookViewId="0">
      <selection sqref="A1:C31"/>
    </sheetView>
  </sheetViews>
  <sheetFormatPr baseColWidth="10" defaultRowHeight="15"/>
  <sheetData>
    <row r="1" spans="1:3">
      <c r="A1" s="32"/>
      <c r="B1" s="33" t="s">
        <v>92</v>
      </c>
      <c r="C1" s="34" t="s">
        <v>93</v>
      </c>
    </row>
    <row r="2" spans="1:3">
      <c r="A2" s="35" t="s">
        <v>94</v>
      </c>
      <c r="B2" s="36">
        <v>14.25374044</v>
      </c>
      <c r="C2" s="37">
        <v>21.72503794</v>
      </c>
    </row>
    <row r="3" spans="1:3">
      <c r="A3" s="35" t="s">
        <v>95</v>
      </c>
      <c r="B3" s="36">
        <v>11.95892325</v>
      </c>
      <c r="C3" s="37">
        <v>22.7823405</v>
      </c>
    </row>
    <row r="4" spans="1:3">
      <c r="A4" s="35" t="s">
        <v>96</v>
      </c>
      <c r="B4" s="36">
        <v>11.042863970000001</v>
      </c>
      <c r="C4" s="37">
        <v>21.36537246</v>
      </c>
    </row>
    <row r="5" spans="1:3">
      <c r="A5" s="35" t="s">
        <v>97</v>
      </c>
      <c r="B5" s="36">
        <v>10.38912704</v>
      </c>
      <c r="C5" s="37">
        <v>18.645852860000002</v>
      </c>
    </row>
    <row r="6" spans="1:3">
      <c r="A6" s="35" t="s">
        <v>98</v>
      </c>
      <c r="B6" s="36">
        <v>10.210472019999999</v>
      </c>
      <c r="C6" s="37">
        <v>14.6234187</v>
      </c>
    </row>
    <row r="7" spans="1:3">
      <c r="A7" s="35" t="s">
        <v>99</v>
      </c>
      <c r="B7" s="36">
        <v>9.385285262</v>
      </c>
      <c r="C7" s="37">
        <v>12.573708480000001</v>
      </c>
    </row>
    <row r="8" spans="1:3">
      <c r="A8" s="35" t="s">
        <v>100</v>
      </c>
      <c r="B8" s="36">
        <v>9.0226073830000004</v>
      </c>
      <c r="C8" s="37">
        <v>9.8980496870000003</v>
      </c>
    </row>
    <row r="9" spans="1:3">
      <c r="A9" s="35" t="s">
        <v>101</v>
      </c>
      <c r="B9" s="36">
        <v>8.6015470440000001</v>
      </c>
      <c r="C9" s="37">
        <v>14.8488077</v>
      </c>
    </row>
    <row r="10" spans="1:3">
      <c r="A10" s="35" t="s">
        <v>102</v>
      </c>
      <c r="B10" s="36">
        <v>8.1429080230000004</v>
      </c>
      <c r="C10" s="37">
        <v>14.766721390000001</v>
      </c>
    </row>
    <row r="11" spans="1:3">
      <c r="A11" s="35" t="s">
        <v>103</v>
      </c>
      <c r="B11" s="36">
        <v>8.0847353989999995</v>
      </c>
      <c r="C11" s="37">
        <v>10.88733613</v>
      </c>
    </row>
    <row r="12" spans="1:3">
      <c r="A12" s="35" t="s">
        <v>104</v>
      </c>
      <c r="B12" s="36">
        <v>7.6974207689999998</v>
      </c>
      <c r="C12" s="37">
        <v>20.41745654</v>
      </c>
    </row>
    <row r="13" spans="1:3">
      <c r="A13" s="35" t="s">
        <v>105</v>
      </c>
      <c r="B13" s="36">
        <v>7.6564783780000001</v>
      </c>
      <c r="C13" s="37">
        <v>9.9535330389999999</v>
      </c>
    </row>
    <row r="14" spans="1:3">
      <c r="A14" s="35" t="s">
        <v>106</v>
      </c>
      <c r="B14" s="36">
        <v>7.2649199590000002</v>
      </c>
      <c r="C14" s="37">
        <v>9.6074695109999997</v>
      </c>
    </row>
    <row r="15" spans="1:3">
      <c r="A15" s="35" t="s">
        <v>107</v>
      </c>
      <c r="B15" s="36">
        <v>6.7728560609999997</v>
      </c>
      <c r="C15" s="37">
        <v>8.0627764939999995</v>
      </c>
    </row>
    <row r="16" spans="1:3">
      <c r="A16" s="35" t="s">
        <v>108</v>
      </c>
      <c r="B16" s="36">
        <v>6.7629316680000002</v>
      </c>
      <c r="C16" s="37">
        <v>10.82647235</v>
      </c>
    </row>
    <row r="17" spans="1:3">
      <c r="A17" s="35" t="s">
        <v>109</v>
      </c>
      <c r="B17" s="36">
        <v>6.6823778679999997</v>
      </c>
      <c r="C17" s="37">
        <v>6.6215802110000004</v>
      </c>
    </row>
    <row r="18" spans="1:3">
      <c r="A18" s="35" t="s">
        <v>110</v>
      </c>
      <c r="B18" s="36">
        <v>6.2275687050000004</v>
      </c>
      <c r="C18" s="37">
        <v>4.3565384649999999</v>
      </c>
    </row>
    <row r="19" spans="1:3">
      <c r="A19" s="35" t="s">
        <v>111</v>
      </c>
      <c r="B19" s="36">
        <v>6.1024367909999997</v>
      </c>
      <c r="C19" s="37">
        <v>9.7274139020000003</v>
      </c>
    </row>
    <row r="20" spans="1:3">
      <c r="A20" s="35" t="s">
        <v>112</v>
      </c>
      <c r="B20" s="36">
        <v>5.9977445649999996</v>
      </c>
      <c r="C20" s="37">
        <v>8.8428522639999994</v>
      </c>
    </row>
    <row r="21" spans="1:3">
      <c r="A21" s="35" t="s">
        <v>113</v>
      </c>
      <c r="B21" s="36">
        <v>5.6259188260000004</v>
      </c>
      <c r="C21" s="37">
        <v>8.8642152670000005</v>
      </c>
    </row>
    <row r="22" spans="1:3">
      <c r="A22" s="35" t="s">
        <v>114</v>
      </c>
      <c r="B22" s="36">
        <v>5.5288206310000003</v>
      </c>
      <c r="C22" s="37">
        <v>6.6632398640000003</v>
      </c>
    </row>
    <row r="23" spans="1:3">
      <c r="A23" s="35" t="s">
        <v>115</v>
      </c>
      <c r="B23" s="36">
        <v>5.3029481430000001</v>
      </c>
      <c r="C23" s="37">
        <v>7.6236485519999997</v>
      </c>
    </row>
    <row r="24" spans="1:3">
      <c r="A24" s="35" t="s">
        <v>116</v>
      </c>
      <c r="B24" s="36">
        <v>4.8482141140000001</v>
      </c>
      <c r="C24" s="37">
        <v>8.2395181320000006</v>
      </c>
    </row>
    <row r="25" spans="1:3">
      <c r="A25" s="35" t="s">
        <v>117</v>
      </c>
      <c r="B25" s="36">
        <v>4.7685494970000004</v>
      </c>
      <c r="C25" s="37">
        <v>3.319047581</v>
      </c>
    </row>
    <row r="26" spans="1:3">
      <c r="A26" s="35" t="s">
        <v>118</v>
      </c>
      <c r="B26" s="36">
        <v>4.7659863299999996</v>
      </c>
      <c r="C26" s="37">
        <v>3.4247475729999999</v>
      </c>
    </row>
    <row r="27" spans="1:3">
      <c r="A27" s="35" t="s">
        <v>119</v>
      </c>
      <c r="B27" s="36">
        <v>4.6611098599999998</v>
      </c>
      <c r="C27" s="37">
        <v>2.9620564150000002</v>
      </c>
    </row>
    <row r="28" spans="1:3">
      <c r="A28" s="35" t="s">
        <v>120</v>
      </c>
      <c r="B28" s="36">
        <v>4.3149435450000002</v>
      </c>
      <c r="C28" s="37">
        <v>5.2029306069999999</v>
      </c>
    </row>
    <row r="29" spans="1:3">
      <c r="A29" s="35" t="s">
        <v>121</v>
      </c>
      <c r="B29" s="36">
        <v>4.1805251649999997</v>
      </c>
      <c r="C29" s="37">
        <v>5.1958175679999998</v>
      </c>
    </row>
    <row r="30" spans="1:3">
      <c r="A30" s="35" t="s">
        <v>122</v>
      </c>
      <c r="B30" s="36">
        <v>3.2192467659999999</v>
      </c>
      <c r="C30" s="37">
        <v>2.9123536510000001</v>
      </c>
    </row>
    <row r="31" spans="1:3">
      <c r="A31" s="35" t="s">
        <v>123</v>
      </c>
      <c r="B31" s="36">
        <v>5.6694018570000004</v>
      </c>
      <c r="C31" s="37">
        <v>7.4521171089999996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74C-9991-454D-B938-860F44B92BED}">
  <dimension ref="A1"/>
  <sheetViews>
    <sheetView tabSelected="1" workbookViewId="0">
      <selection activeCell="H17" sqref="H17"/>
    </sheetView>
  </sheetViews>
  <sheetFormatPr baseColWidth="10" defaultRowHeight="15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그림1</vt:lpstr>
      <vt:lpstr>그림2</vt:lpstr>
      <vt:lpstr>그림3</vt:lpstr>
      <vt:lpstr>그림4</vt:lpstr>
      <vt:lpstr>그림5</vt:lpstr>
      <vt:lpstr>그림6</vt:lpstr>
      <vt:lpstr>그림7</vt:lpstr>
      <vt:lpstr>그림8</vt:lpstr>
      <vt:lpstr>그림9</vt:lpstr>
      <vt:lpstr>그림10</vt:lpstr>
      <vt:lpstr>그림11</vt:lpstr>
      <vt:lpstr>그림12</vt:lpstr>
      <vt:lpstr>그림13</vt:lpstr>
      <vt:lpstr>그림14</vt:lpstr>
      <vt:lpstr>그림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JongSeok Jeon</dc:creator>
  <cp:lastModifiedBy>JongSeok Jeon</cp:lastModifiedBy>
  <dcterms:created xsi:type="dcterms:W3CDTF">2026-02-04T00:07:58Z</dcterms:created>
  <dcterms:modified xsi:type="dcterms:W3CDTF">2026-02-04T00:36:14Z</dcterms:modified>
</cp:coreProperties>
</file>